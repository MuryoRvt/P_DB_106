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227" codeName="{957460C9-B318-DD5D-5CC9-C049C1E746CC}"/>
  <workbookPr updateLinks="never" codeName="ThisWorkbook"/>
  <mc:AlternateContent xmlns:mc="http://schemas.openxmlformats.org/markup-compatibility/2006">
    <mc:Choice Requires="x15">
      <x15ac:absPath xmlns:x15ac="http://schemas.microsoft.com/office/spreadsheetml/2010/11/ac" url="E:\02PROJETS\p_DB_106\livrables\002 documentation\"/>
    </mc:Choice>
  </mc:AlternateContent>
  <xr:revisionPtr revIDLastSave="0" documentId="13_ncr:1_{F31BC50E-1821-47DF-86BF-2E517D731BCF}" xr6:coauthVersionLast="47" xr6:coauthVersionMax="47" xr10:uidLastSave="{00000000-0000-0000-0000-000000000000}"/>
  <bookViews>
    <workbookView xWindow="-103" yWindow="-103" windowWidth="33120" windowHeight="18000" activeTab="5"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55" r:id="rId6"/>
  </sheets>
  <definedNames>
    <definedName name="datDateBegin">Donnees!$C$9</definedName>
    <definedName name="ListTasks">#REF!</definedName>
    <definedName name="lstTasks">Donnees!$C$20:$C$45</definedName>
    <definedName name="NbLessons">#REF!</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 i="155" l="1"/>
  <c r="D20" i="155" s="1"/>
  <c r="D39" i="155" s="1"/>
  <c r="D58" i="155" s="1"/>
  <c r="D77" i="155" s="1"/>
  <c r="D96" i="155" s="1"/>
  <c r="D115" i="155" s="1"/>
  <c r="D134" i="155" s="1"/>
  <c r="B151" i="155"/>
  <c r="B132" i="155"/>
  <c r="B113" i="155"/>
  <c r="B94" i="155"/>
  <c r="B75" i="155"/>
  <c r="B56" i="155"/>
  <c r="B37" i="155"/>
  <c r="B18" i="155"/>
  <c r="B18" i="154"/>
  <c r="B13" i="11" l="1"/>
</calcChain>
</file>

<file path=xl/sharedStrings.xml><?xml version="1.0" encoding="utf-8"?>
<sst xmlns="http://schemas.openxmlformats.org/spreadsheetml/2006/main" count="160" uniqueCount="85">
  <si>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</si>
  <si>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</si>
  <si>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</si>
  <si>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</si>
  <si>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</si>
  <si>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</si>
  <si>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</si>
  <si>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</si>
  <si>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</si>
  <si>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</si>
  <si>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</si>
  <si>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</si>
  <si>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</si>
  <si>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</si>
  <si>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</si>
  <si>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</si>
  <si>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</si>
  <si>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</si>
  <si>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</si>
  <si>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</si>
  <si>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</si>
  <si>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</si>
  <si>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</si>
  <si>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Semestre</t>
  </si>
  <si>
    <t>Imprévus</t>
  </si>
  <si>
    <t>Max. 12</t>
  </si>
  <si>
    <t>STOP</t>
  </si>
  <si>
    <t>Cin2A</t>
  </si>
  <si>
    <t>Mettre la base du JDT</t>
  </si>
  <si>
    <t>Mettre la base du rapport</t>
  </si>
  <si>
    <t>Mykola Zhuravel</t>
  </si>
  <si>
    <t>Lausanne-Vennes</t>
  </si>
  <si>
    <t>10 (2 semaines de vacances)</t>
  </si>
  <si>
    <t>Durée
[1/4h.]</t>
  </si>
  <si>
    <t>GitHub</t>
  </si>
  <si>
    <t>J'ai dépensé 30 minutes afin de comprendre le fonctionnement du Git. Comment marchent les commit et les push, comment créer une repository, etc…</t>
  </si>
  <si>
    <t>JDT</t>
  </si>
  <si>
    <t>Je commence mon rapport. J'ai perdu un peu de temps car j'avais pris le mauvais, je ne pouvais pas de créer le JDT et j'avais seulement des données à disposition.</t>
  </si>
  <si>
    <t>CDC</t>
  </si>
  <si>
    <t>Je lie le cahier des charges pour comprendre le but de ce projet. Je vais commencer par créer un MCD.</t>
  </si>
  <si>
    <t>MCD</t>
  </si>
  <si>
    <t>La création d'un modèle MCD. Il m'a fallu un peu de temps pour comprendre la bonne logique de réalisation du modèle.</t>
  </si>
  <si>
    <t>RAPPORT</t>
  </si>
  <si>
    <t>Je crée un rapport de ce projet en expliquant comment j'ai procédé pour réaliser des exercices. Pour le premier p. exemple, j'ai expliqué ma logique de réalisation du modèle MCD.</t>
  </si>
  <si>
    <t>Rendre le projet</t>
  </si>
  <si>
    <t>Vers la fin de la séquence je prend 15 minutes pour envyoer mes fichiers sur git.</t>
  </si>
  <si>
    <t>Création de la db</t>
  </si>
  <si>
    <t>Je crée la base de données, je l'utilise, je insère les tables, etc…</t>
  </si>
  <si>
    <t>MODULE</t>
  </si>
  <si>
    <t>Cette semaine on s'est surtout concentré sur le module pour apprendre la matière dont on aura besoin pour le projet. On a fait plusieurs exercices du SELECT, JOIN et Utilisateur/rôle. Ensuite on a continué le projet.</t>
  </si>
  <si>
    <t>Insérer des donées dans JOUEUR</t>
  </si>
  <si>
    <t>Je génère un script SQL qui va insérer des données dans la table voulue.</t>
  </si>
  <si>
    <t>Mockaroo - Random Data Generator and API Mocking Tool | JSON / CSV / SQL / Excel</t>
  </si>
  <si>
    <t>Insérer des donées dans ARME</t>
  </si>
  <si>
    <t>Insérer des donées dans COMMANDE</t>
  </si>
  <si>
    <t>JDT / Rapport</t>
  </si>
  <si>
    <t>Il me resté pas beaucoup de temps donc j'ai complété mon journal de travail et avancé un peu mon rapport de projet.</t>
  </si>
  <si>
    <t>ReadMe</t>
  </si>
  <si>
    <t>Le professeur nous a montré l'exemple d'un élève qui a mis en place un ReadMe de bonne qualité.</t>
  </si>
  <si>
    <t>Refaire les tables</t>
  </si>
  <si>
    <t>J'ai remarqué que le nommage de mes tables est incorrect donc je les ai changé. Après avoir changé j'ai remarqué certains défaut dans mes tables, comme les donnés insérés dans la table de la commande par exemple. En voulant tout refaire corectement j'ai pérdu pas mal de temps mais ça valait la peine. Le nommage et les données dans mes tables sont dorénavant correctes.</t>
  </si>
  <si>
    <t>Rapport</t>
  </si>
  <si>
    <t>J'ai amélioré mon rapport en ajoutant des screens de meilleure qualité et en ajoutant un plus de description.</t>
  </si>
  <si>
    <t>Gestion des utilisateus</t>
  </si>
  <si>
    <t xml:space="preserve">Je complète le journla de travail en citant ce que j'ai fait aujourdh'ui </t>
  </si>
  <si>
    <t>FULL SELECT MODULE</t>
  </si>
  <si>
    <t>PAS DE PROJET, CONCENTRATION SUR LE MODULE</t>
  </si>
  <si>
    <t>Vérification</t>
  </si>
  <si>
    <t>Au début de cette séquence j'ai recréé ma base de doonées pour s'assurer que tout marche bien. C'est une bonne pratique car cette fois par exemple, la création de mes utilissateurs ne marchais pas, donc j'ai dû modifier un peu le script.</t>
  </si>
  <si>
    <t>J'ai créé des rôles</t>
  </si>
  <si>
    <t>Utilisateurs et leurs privilèges</t>
  </si>
  <si>
    <t>J'ai fini l'insértion des privilèges pour les rôles que j'ai créé. J'ai eu un soucci avec appropriation des privilèges pour gestionnaire. L'ERREUR disait que je n'ai pas de permission d'utiliser la commande GRANT.</t>
  </si>
  <si>
    <t>USERS</t>
  </si>
  <si>
    <t>Je me suis rendu compte que j'ai oublié de créer des utilisateurs, donc je les ai créé et leur ai attribué des rôles.</t>
  </si>
  <si>
    <t xml:space="preserve">Exercice 7.4 </t>
  </si>
  <si>
    <t xml:space="preserve">Je complète l'exercice 7.4 </t>
  </si>
  <si>
    <t>https://www.digitalocean.com/community/tutorials/how-to-create-a-new-user-and-grant-permissions-in-mysql-fr</t>
  </si>
  <si>
    <t>Je rédige ce que j'ai fait durant cette séquence dans le journal de travail.</t>
  </si>
  <si>
    <t>je finis le strois dernières requêtes de cet exercice.</t>
  </si>
  <si>
    <t>Exercice 7.5</t>
  </si>
  <si>
    <t>Je finis l'exercice en répondant à toutes les questions.</t>
  </si>
  <si>
    <t>Exercice 7.6</t>
  </si>
  <si>
    <t>Je finis l'exercice 7.6</t>
  </si>
  <si>
    <t xml:space="preserve">Correction </t>
  </si>
  <si>
    <t>Je corrige l'erreur dans la table t_joueur dans laquelle j'avais mis un 'é'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</si>
</sst>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100C]dddd&quot;, &quot;mmmm&quot; &quot;dd&quot;, &quot;yyyy"/>
  </numFmts>
  <fonts count="23"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6"/>
      <color rgb="FF000000"/>
      <name val="Century Gothic"/>
      <family val="2"/>
    </font>
    <font>
      <sz val="10"/>
      <color theme="0"/>
      <name val="Century Gothic"/>
      <family val="2"/>
      <scheme val="minor"/>
    </font>
    <font>
      <b/>
      <u/>
      <sz val="16"/>
      <name val="Century Gothic"/>
      <family val="2"/>
      <scheme val="minor"/>
    </font>
    <font>
      <sz val="18"/>
      <name val="Century Gothic"/>
      <family val="2"/>
      <scheme val="minor"/>
    </font>
    <font>
      <sz val="36"/>
      <name val="Century Gothic"/>
      <family val="2"/>
      <scheme val="minor"/>
    </font>
    <font>
      <sz val="26"/>
      <name val="Century Gothic"/>
      <family val="2"/>
      <scheme val="minor"/>
    </font>
    <font>
      <u/>
      <sz val="10"/>
      <name val="Arial"/>
      <family val="2"/>
    </font>
  </fonts>
  <fills count="15">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rgb="FFEBF1DE"/>
        <bgColor rgb="FFEBF1DE"/>
      </patternFill>
    </fill>
  </fills>
  <borders count="36">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thin">
        <color rgb="FF000000"/>
      </left>
      <right style="medium">
        <color rgb="FF000000"/>
      </right>
      <top style="medium">
        <color rgb="FF000000"/>
      </top>
      <bottom style="dashed">
        <color rgb="FF000000"/>
      </bottom>
      <diagonal/>
    </border>
    <border>
      <left style="thin">
        <color rgb="FF000000"/>
      </left>
      <right style="medium">
        <color rgb="FF000000"/>
      </right>
      <top/>
      <bottom style="dashed">
        <color rgb="FF000000"/>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01">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0" fontId="15" fillId="8" borderId="23" xfId="0"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164" fontId="15" fillId="6" borderId="25" xfId="0" applyNumberFormat="1" applyFont="1" applyFill="1" applyBorder="1" applyAlignment="1">
      <alignment horizontal="left" vertical="center" indent="2"/>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165" fontId="16" fillId="14" borderId="34" xfId="0" applyNumberFormat="1" applyFont="1" applyFill="1" applyBorder="1" applyAlignment="1" applyProtection="1">
      <alignment horizontal="left" vertical="center" indent="2"/>
      <protection locked="0"/>
    </xf>
    <xf numFmtId="165" fontId="16" fillId="14" borderId="35" xfId="0" applyNumberFormat="1" applyFont="1" applyFill="1" applyBorder="1" applyAlignment="1" applyProtection="1">
      <alignment horizontal="left" vertical="center" indent="2"/>
      <protection locked="0"/>
    </xf>
    <xf numFmtId="0" fontId="9" fillId="12" borderId="13" xfId="0" applyFont="1" applyFill="1" applyBorder="1" applyAlignment="1">
      <alignment horizontal="left" vertical="top" wrapText="1"/>
    </xf>
    <xf numFmtId="0" fontId="17" fillId="9" borderId="0" xfId="0" applyFont="1" applyFill="1"/>
    <xf numFmtId="0" fontId="18" fillId="6" borderId="24" xfId="0" applyFont="1" applyFill="1" applyBorder="1" applyAlignment="1">
      <alignment horizontal="right" vertical="center"/>
    </xf>
    <xf numFmtId="0" fontId="15" fillId="6" borderId="24" xfId="0" applyFont="1" applyFill="1" applyBorder="1" applyAlignment="1">
      <alignment horizontal="right" vertical="center"/>
    </xf>
    <xf numFmtId="0" fontId="15" fillId="6" borderId="17" xfId="0" applyFont="1" applyFill="1" applyBorder="1" applyAlignment="1">
      <alignment horizontal="right" vertical="center"/>
    </xf>
    <xf numFmtId="0" fontId="15" fillId="6" borderId="8" xfId="0" applyFont="1" applyFill="1" applyBorder="1" applyAlignment="1">
      <alignment horizontal="right" vertical="center"/>
    </xf>
    <xf numFmtId="0" fontId="19" fillId="0" borderId="1" xfId="0" applyFont="1" applyBorder="1" applyAlignment="1" applyProtection="1">
      <alignment horizontal="left" vertical="top" wrapText="1"/>
      <protection locked="0"/>
    </xf>
    <xf numFmtId="0" fontId="0" fillId="0" borderId="2" xfId="0" applyBorder="1" applyAlignment="1" applyProtection="1">
      <alignment horizontal="left" vertical="top" wrapText="1"/>
      <protection locked="0"/>
    </xf>
    <xf numFmtId="0" fontId="0" fillId="9" borderId="0" xfId="0" applyFill="1" applyAlignment="1">
      <alignment horizontal="center"/>
    </xf>
    <xf numFmtId="0" fontId="20" fillId="0" borderId="2" xfId="0" applyFont="1" applyBorder="1" applyAlignment="1" applyProtection="1">
      <alignment horizontal="center" vertical="top" wrapText="1"/>
      <protection locked="0"/>
    </xf>
    <xf numFmtId="0" fontId="21" fillId="0" borderId="2" xfId="0" applyFont="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22" fillId="0" borderId="0" xfId="1" applyFont="1" applyAlignment="1" applyProtection="1">
      <alignment wrapText="1"/>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2" fillId="7" borderId="20" xfId="0" applyFont="1" applyFill="1" applyBorder="1" applyAlignment="1">
      <alignment horizontal="left" vertical="center" indent="1"/>
    </xf>
    <xf numFmtId="0" fontId="0" fillId="7" borderId="19" xfId="0" applyFill="1" applyBorder="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10886</xdr:colOff>
          <xdr:row>1</xdr:row>
          <xdr:rowOff>163286</xdr:rowOff>
        </xdr:from>
        <xdr:to>
          <xdr:col>6</xdr:col>
          <xdr:colOff>76200</xdr:colOff>
          <xdr:row>3</xdr:row>
          <xdr:rowOff>201386</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10886</xdr:colOff>
          <xdr:row>5</xdr:row>
          <xdr:rowOff>10886</xdr:rowOff>
        </xdr:from>
        <xdr:to>
          <xdr:col>6</xdr:col>
          <xdr:colOff>97971</xdr:colOff>
          <xdr:row>7</xdr:row>
          <xdr:rowOff>48986</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10886</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593271</xdr:colOff>
          <xdr:row>0</xdr:row>
          <xdr:rowOff>179614</xdr:rowOff>
        </xdr:from>
        <xdr:to>
          <xdr:col>7</xdr:col>
          <xdr:colOff>255814</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593271</xdr:colOff>
          <xdr:row>0</xdr:row>
          <xdr:rowOff>179614</xdr:rowOff>
        </xdr:from>
        <xdr:to>
          <xdr:col>7</xdr:col>
          <xdr:colOff>255814</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593271</xdr:colOff>
          <xdr:row>0</xdr:row>
          <xdr:rowOff>179614</xdr:rowOff>
        </xdr:from>
        <xdr:to>
          <xdr:col>7</xdr:col>
          <xdr:colOff>255814</xdr:colOff>
          <xdr:row>2</xdr:row>
          <xdr:rowOff>152400</xdr:rowOff>
        </xdr:to>
        <xdr:sp macro="" textlink="">
          <xdr:nvSpPr>
            <xdr:cNvPr id="41985" name="btnImportRealisation" hidden="1">
              <a:extLst>
                <a:ext uri="{63B3BB69-23CF-44E3-9099-C40C66FF867C}">
                  <a14:compatExt spid="_x0000_s41985"/>
                </a:ext>
                <a:ext uri="{FF2B5EF4-FFF2-40B4-BE49-F238E27FC236}">
                  <a16:creationId xmlns:a16="http://schemas.microsoft.com/office/drawing/2014/main" id="{00000000-0008-0000-0500-000001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hyperlink" Target="https://mockaroo.com/" TargetMode="External"/><Relationship Id="rId7" Type="http://schemas.openxmlformats.org/officeDocument/2006/relationships/control" Target="../activeX/activeX6.xml"/><Relationship Id="rId2" Type="http://schemas.openxmlformats.org/officeDocument/2006/relationships/hyperlink" Target="https://mockaroo.com/" TargetMode="External"/><Relationship Id="rId1" Type="http://schemas.openxmlformats.org/officeDocument/2006/relationships/hyperlink" Target="https://mockaroo.com/" TargetMode="External"/><Relationship Id="rId6" Type="http://schemas.openxmlformats.org/officeDocument/2006/relationships/vmlDrawing" Target="../drawings/vmlDrawing5.vml"/><Relationship Id="rId5" Type="http://schemas.openxmlformats.org/officeDocument/2006/relationships/drawing" Target="../drawings/drawing4.xml"/><Relationship Id="rId4"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zoomScaleNormal="100" zoomScaleSheetLayoutView="100" workbookViewId="0">
      <selection activeCell="C21" sqref="C21"/>
    </sheetView>
  </sheetViews>
  <sheetFormatPr baseColWidth="10" defaultColWidth="11.53515625" defaultRowHeight="12" x14ac:dyDescent="0.25"/>
  <cols>
    <col min="1" max="1" width="16.53515625" style="57" customWidth="1"/>
    <col min="2" max="2" width="55.15234375" style="57" customWidth="1"/>
    <col min="3" max="3" width="88.53515625" style="57" customWidth="1"/>
    <col min="4" max="4" width="3.3828125" style="57" customWidth="1"/>
    <col min="5" max="6" width="11.53515625" style="57"/>
    <col min="7" max="7" width="3.3046875" style="57" customWidth="1"/>
    <col min="8" max="16384" width="11.53515625" style="57"/>
  </cols>
  <sheetData>
    <row r="1" spans="1:7" x14ac:dyDescent="0.25">
      <c r="A1" s="54"/>
      <c r="B1" s="55"/>
      <c r="C1" s="55"/>
      <c r="D1" s="55"/>
      <c r="E1" s="55"/>
      <c r="F1" s="55"/>
      <c r="G1" s="56"/>
    </row>
    <row r="2" spans="1:7" ht="12.45" thickBot="1" x14ac:dyDescent="0.3">
      <c r="A2" s="58"/>
      <c r="B2" s="59"/>
      <c r="C2" s="59"/>
      <c r="D2" s="59"/>
      <c r="E2" s="59"/>
      <c r="F2" s="59"/>
      <c r="G2" s="60"/>
    </row>
    <row r="3" spans="1:7" ht="19.75" x14ac:dyDescent="0.25">
      <c r="A3" s="58"/>
      <c r="B3" s="61" t="s">
        <v>23</v>
      </c>
      <c r="C3" s="62">
        <v>1</v>
      </c>
      <c r="D3" s="59"/>
      <c r="E3" s="59"/>
      <c r="F3" s="59"/>
      <c r="G3" s="60"/>
    </row>
    <row r="4" spans="1:7" ht="19.75" x14ac:dyDescent="0.25">
      <c r="A4" s="58"/>
      <c r="B4" s="63" t="s">
        <v>3</v>
      </c>
      <c r="C4" s="64" t="s">
        <v>30</v>
      </c>
      <c r="D4" s="59"/>
      <c r="E4" s="59"/>
      <c r="F4" s="59"/>
      <c r="G4" s="60"/>
    </row>
    <row r="5" spans="1:7" ht="19.75" x14ac:dyDescent="0.25">
      <c r="A5" s="58"/>
      <c r="B5" s="63" t="s">
        <v>0</v>
      </c>
      <c r="C5" s="64" t="s">
        <v>27</v>
      </c>
      <c r="D5" s="59"/>
      <c r="E5" s="59"/>
      <c r="F5" s="59"/>
      <c r="G5" s="60"/>
    </row>
    <row r="6" spans="1:7" ht="20.149999999999999" thickBot="1" x14ac:dyDescent="0.3">
      <c r="A6" s="58"/>
      <c r="B6" s="65" t="s">
        <v>1</v>
      </c>
      <c r="C6" s="66" t="s">
        <v>31</v>
      </c>
      <c r="D6" s="59"/>
      <c r="E6" s="59"/>
      <c r="F6" s="59"/>
      <c r="G6" s="60"/>
    </row>
    <row r="7" spans="1:7" x14ac:dyDescent="0.25">
      <c r="A7" s="58"/>
      <c r="B7" s="59"/>
      <c r="C7" s="59"/>
      <c r="D7" s="59"/>
      <c r="E7" s="59"/>
      <c r="F7" s="59"/>
      <c r="G7" s="60"/>
    </row>
    <row r="8" spans="1:7" ht="12.45" thickBot="1" x14ac:dyDescent="0.3">
      <c r="A8" s="58"/>
      <c r="B8" s="59"/>
      <c r="C8" s="59"/>
      <c r="D8" s="59"/>
      <c r="E8" s="59"/>
      <c r="F8" s="59"/>
      <c r="G8" s="60"/>
    </row>
    <row r="9" spans="1:7" ht="19.75" x14ac:dyDescent="0.25">
      <c r="A9" s="58"/>
      <c r="B9" s="61" t="s">
        <v>8</v>
      </c>
      <c r="C9" s="82">
        <v>45602</v>
      </c>
      <c r="D9" s="59"/>
      <c r="E9" s="59"/>
      <c r="F9" s="59"/>
      <c r="G9" s="60"/>
    </row>
    <row r="10" spans="1:7" ht="19.75" x14ac:dyDescent="0.25">
      <c r="A10" s="58"/>
      <c r="B10" s="67" t="s">
        <v>7</v>
      </c>
      <c r="C10" s="83">
        <v>45665</v>
      </c>
      <c r="D10" s="59"/>
      <c r="E10" s="59"/>
      <c r="F10" s="59"/>
      <c r="G10" s="60"/>
    </row>
    <row r="11" spans="1:7" ht="19.75" x14ac:dyDescent="0.25">
      <c r="A11" s="58"/>
      <c r="B11" s="67" t="s">
        <v>9</v>
      </c>
      <c r="C11" s="69" t="s">
        <v>32</v>
      </c>
      <c r="D11" s="59"/>
      <c r="E11" s="59"/>
      <c r="F11" s="59"/>
      <c r="G11" s="60"/>
    </row>
    <row r="12" spans="1:7" ht="19.75" x14ac:dyDescent="0.25">
      <c r="A12" s="58"/>
      <c r="B12" s="63" t="s">
        <v>10</v>
      </c>
      <c r="C12" s="70">
        <v>4</v>
      </c>
      <c r="D12" s="59"/>
      <c r="E12" s="59"/>
      <c r="F12" s="59"/>
      <c r="G12" s="60"/>
    </row>
    <row r="13" spans="1:7" ht="19.75" x14ac:dyDescent="0.25">
      <c r="A13" s="58"/>
      <c r="B13" s="63" t="s">
        <v>11</v>
      </c>
      <c r="C13" s="70">
        <v>3</v>
      </c>
      <c r="D13" s="59"/>
      <c r="E13" s="59"/>
      <c r="F13" s="59"/>
      <c r="G13" s="60"/>
    </row>
    <row r="14" spans="1:7" ht="20.149999999999999" thickBot="1" x14ac:dyDescent="0.3">
      <c r="A14" s="58"/>
      <c r="B14" s="71"/>
      <c r="C14" s="72" t="s">
        <v>5</v>
      </c>
      <c r="D14" s="59"/>
      <c r="E14" s="59"/>
      <c r="F14" s="59"/>
      <c r="G14" s="60"/>
    </row>
    <row r="15" spans="1:7" x14ac:dyDescent="0.25">
      <c r="A15" s="58"/>
      <c r="B15" s="59"/>
      <c r="C15" s="59"/>
      <c r="D15" s="59"/>
      <c r="E15" s="59"/>
      <c r="F15" s="59"/>
      <c r="G15" s="60"/>
    </row>
    <row r="16" spans="1:7" ht="12.45" thickBot="1" x14ac:dyDescent="0.3">
      <c r="A16" s="73"/>
      <c r="B16" s="74"/>
      <c r="C16" s="74"/>
      <c r="D16" s="74"/>
      <c r="E16" s="74"/>
      <c r="F16" s="74"/>
      <c r="G16" s="75"/>
    </row>
    <row r="17" spans="1:7" x14ac:dyDescent="0.25">
      <c r="A17" s="76"/>
      <c r="B17" s="55"/>
      <c r="C17" s="55"/>
      <c r="D17" s="55"/>
      <c r="E17" s="55"/>
      <c r="F17" s="55"/>
      <c r="G17" s="56"/>
    </row>
    <row r="18" spans="1:7" ht="12.45" thickBot="1" x14ac:dyDescent="0.3">
      <c r="A18" s="77"/>
      <c r="B18" s="59"/>
      <c r="C18" s="59"/>
      <c r="D18" s="59"/>
      <c r="E18" s="59"/>
      <c r="F18" s="59"/>
      <c r="G18" s="60"/>
    </row>
    <row r="19" spans="1:7" ht="20.149999999999999" thickBot="1" x14ac:dyDescent="0.3">
      <c r="A19" s="77"/>
      <c r="B19" s="97" t="s">
        <v>18</v>
      </c>
      <c r="C19" s="98"/>
      <c r="D19" s="59"/>
      <c r="E19" s="59"/>
      <c r="F19" s="59"/>
      <c r="G19" s="60"/>
    </row>
    <row r="20" spans="1:7" ht="19.75" x14ac:dyDescent="0.25">
      <c r="A20" s="77"/>
      <c r="B20" s="86" t="s">
        <v>19</v>
      </c>
      <c r="C20" s="78" t="s">
        <v>24</v>
      </c>
      <c r="D20" s="59"/>
      <c r="E20" s="59"/>
      <c r="F20" s="59"/>
      <c r="G20" s="60"/>
    </row>
    <row r="21" spans="1:7" ht="19.75" x14ac:dyDescent="0.25">
      <c r="A21" s="77"/>
      <c r="B21" s="87" t="s">
        <v>28</v>
      </c>
      <c r="C21" s="68"/>
      <c r="D21" s="59"/>
      <c r="E21" s="59"/>
      <c r="F21" s="59"/>
      <c r="G21" s="60"/>
    </row>
    <row r="22" spans="1:7" ht="19.75" x14ac:dyDescent="0.25">
      <c r="A22" s="77"/>
      <c r="B22" s="87" t="s">
        <v>29</v>
      </c>
      <c r="C22" s="69"/>
      <c r="D22" s="59"/>
      <c r="E22" s="59"/>
      <c r="F22" s="59"/>
      <c r="G22" s="60"/>
    </row>
    <row r="23" spans="1:7" ht="19.75" x14ac:dyDescent="0.25">
      <c r="A23" s="77"/>
      <c r="B23" s="88"/>
      <c r="C23" s="69"/>
      <c r="D23" s="59"/>
      <c r="E23" s="59"/>
      <c r="F23" s="59"/>
      <c r="G23" s="60"/>
    </row>
    <row r="24" spans="1:7" ht="19.75" x14ac:dyDescent="0.25">
      <c r="A24" s="77"/>
      <c r="B24" s="87">
        <v>4</v>
      </c>
      <c r="C24" s="69"/>
      <c r="D24" s="59"/>
      <c r="E24" s="59"/>
      <c r="F24" s="59"/>
      <c r="G24" s="60"/>
    </row>
    <row r="25" spans="1:7" ht="19.75" x14ac:dyDescent="0.25">
      <c r="A25" s="77"/>
      <c r="B25" s="87">
        <v>5</v>
      </c>
      <c r="C25" s="69"/>
      <c r="D25" s="59"/>
      <c r="E25" s="59"/>
      <c r="F25" s="59"/>
      <c r="G25" s="60"/>
    </row>
    <row r="26" spans="1:7" ht="19.75" x14ac:dyDescent="0.25">
      <c r="A26" s="77"/>
      <c r="B26" s="88">
        <v>6</v>
      </c>
      <c r="C26" s="69"/>
      <c r="D26" s="59"/>
      <c r="E26" s="59"/>
      <c r="F26" s="59"/>
      <c r="G26" s="60"/>
    </row>
    <row r="27" spans="1:7" ht="19.75" x14ac:dyDescent="0.25">
      <c r="A27" s="77"/>
      <c r="B27" s="87">
        <v>7</v>
      </c>
      <c r="C27" s="69"/>
      <c r="D27" s="59"/>
      <c r="E27" s="59"/>
      <c r="F27" s="59"/>
      <c r="G27" s="60"/>
    </row>
    <row r="28" spans="1:7" ht="19.75" x14ac:dyDescent="0.25">
      <c r="A28" s="77"/>
      <c r="B28" s="87">
        <v>8</v>
      </c>
      <c r="C28" s="70"/>
      <c r="D28" s="59"/>
      <c r="E28" s="59"/>
      <c r="F28" s="59"/>
      <c r="G28" s="60"/>
    </row>
    <row r="29" spans="1:7" ht="19.75" x14ac:dyDescent="0.25">
      <c r="A29" s="77"/>
      <c r="B29" s="88">
        <v>9</v>
      </c>
      <c r="C29" s="70"/>
      <c r="D29" s="59"/>
      <c r="E29" s="59"/>
      <c r="F29" s="59"/>
      <c r="G29" s="60"/>
    </row>
    <row r="30" spans="1:7" ht="19.75" x14ac:dyDescent="0.25">
      <c r="A30" s="77"/>
      <c r="B30" s="87">
        <v>10</v>
      </c>
      <c r="C30" s="69"/>
      <c r="D30" s="59"/>
      <c r="E30" s="59"/>
      <c r="F30" s="59"/>
      <c r="G30" s="60"/>
    </row>
    <row r="31" spans="1:7" ht="19.75" x14ac:dyDescent="0.25">
      <c r="A31" s="77"/>
      <c r="B31" s="87">
        <v>11</v>
      </c>
      <c r="C31" s="69"/>
      <c r="D31" s="59"/>
      <c r="E31" s="59"/>
      <c r="F31" s="59"/>
      <c r="G31" s="60"/>
    </row>
    <row r="32" spans="1:7" ht="19.75" x14ac:dyDescent="0.25">
      <c r="A32" s="77"/>
      <c r="B32" s="88">
        <v>12</v>
      </c>
      <c r="C32" s="69"/>
      <c r="D32" s="59"/>
      <c r="E32" s="59"/>
      <c r="F32" s="59"/>
      <c r="G32" s="60"/>
    </row>
    <row r="33" spans="1:7" ht="19.75" x14ac:dyDescent="0.25">
      <c r="A33" s="77"/>
      <c r="B33" s="87">
        <v>13</v>
      </c>
      <c r="C33" s="69"/>
      <c r="D33" s="59"/>
      <c r="E33" s="59"/>
      <c r="F33" s="59"/>
      <c r="G33" s="60"/>
    </row>
    <row r="34" spans="1:7" ht="19.75" x14ac:dyDescent="0.25">
      <c r="A34" s="77"/>
      <c r="B34" s="87">
        <v>14</v>
      </c>
      <c r="C34" s="70"/>
      <c r="D34" s="59"/>
      <c r="E34" s="59"/>
      <c r="F34" s="59"/>
      <c r="G34" s="60"/>
    </row>
    <row r="35" spans="1:7" ht="19.75" x14ac:dyDescent="0.25">
      <c r="A35" s="77"/>
      <c r="B35" s="88">
        <v>15</v>
      </c>
      <c r="C35" s="70"/>
      <c r="D35" s="59"/>
      <c r="E35" s="59"/>
      <c r="F35" s="59"/>
      <c r="G35" s="60"/>
    </row>
    <row r="36" spans="1:7" ht="19.75" x14ac:dyDescent="0.25">
      <c r="A36" s="77"/>
      <c r="B36" s="87">
        <v>16</v>
      </c>
      <c r="C36" s="69"/>
      <c r="D36" s="59"/>
      <c r="E36" s="59"/>
      <c r="F36" s="59"/>
      <c r="G36" s="60"/>
    </row>
    <row r="37" spans="1:7" ht="19.75" x14ac:dyDescent="0.25">
      <c r="A37" s="77"/>
      <c r="B37" s="87">
        <v>17</v>
      </c>
      <c r="C37" s="69"/>
      <c r="D37" s="59"/>
      <c r="E37" s="59"/>
      <c r="F37" s="59"/>
      <c r="G37" s="60"/>
    </row>
    <row r="38" spans="1:7" ht="19.75" x14ac:dyDescent="0.25">
      <c r="A38" s="77"/>
      <c r="B38" s="88">
        <v>18</v>
      </c>
      <c r="C38" s="69"/>
      <c r="D38" s="59"/>
      <c r="E38" s="59"/>
      <c r="F38" s="59"/>
      <c r="G38" s="60"/>
    </row>
    <row r="39" spans="1:7" ht="19.75" x14ac:dyDescent="0.25">
      <c r="A39" s="77"/>
      <c r="B39" s="87">
        <v>19</v>
      </c>
      <c r="C39" s="69"/>
      <c r="D39" s="59"/>
      <c r="E39" s="59"/>
      <c r="F39" s="59"/>
      <c r="G39" s="60"/>
    </row>
    <row r="40" spans="1:7" ht="19.75" x14ac:dyDescent="0.25">
      <c r="A40" s="77"/>
      <c r="B40" s="87">
        <v>20</v>
      </c>
      <c r="C40" s="70"/>
      <c r="D40" s="59"/>
      <c r="E40" s="59"/>
      <c r="F40" s="59"/>
      <c r="G40" s="60"/>
    </row>
    <row r="41" spans="1:7" ht="19.75" x14ac:dyDescent="0.25">
      <c r="A41" s="77"/>
      <c r="B41" s="88">
        <v>21</v>
      </c>
      <c r="C41" s="70"/>
      <c r="D41" s="59"/>
      <c r="E41" s="59"/>
      <c r="F41" s="59"/>
      <c r="G41" s="60"/>
    </row>
    <row r="42" spans="1:7" ht="19.75" x14ac:dyDescent="0.25">
      <c r="A42" s="77"/>
      <c r="B42" s="87">
        <v>22</v>
      </c>
      <c r="C42" s="69"/>
      <c r="D42" s="59"/>
      <c r="E42" s="59"/>
      <c r="F42" s="59"/>
      <c r="G42" s="60"/>
    </row>
    <row r="43" spans="1:7" ht="19.75" x14ac:dyDescent="0.25">
      <c r="A43" s="77"/>
      <c r="B43" s="87">
        <v>23</v>
      </c>
      <c r="C43" s="69"/>
      <c r="D43" s="59"/>
      <c r="E43" s="59"/>
      <c r="F43" s="59"/>
      <c r="G43" s="60"/>
    </row>
    <row r="44" spans="1:7" ht="19.75" x14ac:dyDescent="0.25">
      <c r="A44" s="77"/>
      <c r="B44" s="88">
        <v>24</v>
      </c>
      <c r="C44" s="69"/>
      <c r="D44" s="59"/>
      <c r="E44" s="59"/>
      <c r="F44" s="59"/>
      <c r="G44" s="60"/>
    </row>
    <row r="45" spans="1:7" ht="20.149999999999999" thickBot="1" x14ac:dyDescent="0.3">
      <c r="A45" s="77"/>
      <c r="B45" s="89">
        <v>25</v>
      </c>
      <c r="C45" s="79"/>
      <c r="D45" s="59"/>
      <c r="E45" s="59"/>
      <c r="F45" s="59"/>
      <c r="G45" s="60"/>
    </row>
    <row r="46" spans="1:7" x14ac:dyDescent="0.25">
      <c r="A46" s="77"/>
      <c r="B46" s="55"/>
      <c r="C46" s="59"/>
      <c r="D46" s="59"/>
      <c r="E46" s="59"/>
      <c r="F46" s="59"/>
      <c r="G46" s="60"/>
    </row>
    <row r="47" spans="1:7" x14ac:dyDescent="0.25">
      <c r="A47" s="77"/>
      <c r="B47" s="59"/>
      <c r="C47" s="59"/>
      <c r="D47" s="59"/>
      <c r="E47" s="59"/>
      <c r="F47" s="59"/>
      <c r="G47" s="60"/>
    </row>
    <row r="48" spans="1:7" x14ac:dyDescent="0.25">
      <c r="A48" s="77"/>
      <c r="B48" s="59"/>
      <c r="C48" s="59"/>
      <c r="D48" s="59"/>
      <c r="E48" s="59"/>
      <c r="F48" s="59"/>
      <c r="G48" s="60"/>
    </row>
    <row r="49" spans="1:7" x14ac:dyDescent="0.25">
      <c r="A49" s="77"/>
      <c r="B49" s="59"/>
      <c r="C49" s="59"/>
      <c r="D49" s="59"/>
      <c r="E49" s="59"/>
      <c r="F49" s="59"/>
      <c r="G49" s="60"/>
    </row>
    <row r="50" spans="1:7" x14ac:dyDescent="0.25">
      <c r="A50" s="77"/>
      <c r="B50" s="59"/>
      <c r="C50" s="59"/>
      <c r="D50" s="59"/>
      <c r="E50" s="59"/>
      <c r="F50" s="59"/>
      <c r="G50" s="60"/>
    </row>
    <row r="51" spans="1:7" x14ac:dyDescent="0.25">
      <c r="A51" s="77"/>
      <c r="B51" s="59"/>
      <c r="C51" s="59"/>
      <c r="D51" s="59"/>
      <c r="E51" s="59"/>
      <c r="F51" s="59"/>
      <c r="G51" s="60"/>
    </row>
    <row r="52" spans="1:7" x14ac:dyDescent="0.25">
      <c r="A52" s="77"/>
      <c r="B52" s="59"/>
      <c r="C52" s="59"/>
      <c r="D52" s="59"/>
      <c r="E52" s="59"/>
      <c r="F52" s="59"/>
      <c r="G52" s="60"/>
    </row>
    <row r="53" spans="1:7" x14ac:dyDescent="0.25">
      <c r="A53" s="77"/>
      <c r="B53" s="59"/>
      <c r="C53" s="59"/>
      <c r="D53" s="59"/>
      <c r="E53" s="59"/>
      <c r="F53" s="59"/>
      <c r="G53" s="60"/>
    </row>
    <row r="54" spans="1:7" ht="12.45" thickBot="1" x14ac:dyDescent="0.3">
      <c r="A54" s="80"/>
      <c r="B54" s="74"/>
      <c r="C54" s="74"/>
      <c r="D54" s="74"/>
      <c r="E54" s="74"/>
      <c r="F54" s="74"/>
      <c r="G54" s="75"/>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1"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10886</xdr:colOff>
                <xdr:row>8</xdr:row>
                <xdr:rowOff>190500</xdr:rowOff>
              </from>
              <to>
                <xdr:col>6</xdr:col>
                <xdr:colOff>27214</xdr:colOff>
                <xdr:row>10</xdr:row>
                <xdr:rowOff>168729</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10886</xdr:colOff>
                <xdr:row>2</xdr:row>
                <xdr:rowOff>0</xdr:rowOff>
              </from>
              <to>
                <xdr:col>5</xdr:col>
                <xdr:colOff>805543</xdr:colOff>
                <xdr:row>3</xdr:row>
                <xdr:rowOff>228600</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10886</xdr:colOff>
                <xdr:row>5</xdr:row>
                <xdr:rowOff>10886</xdr:rowOff>
              </from>
              <to>
                <xdr:col>6</xdr:col>
                <xdr:colOff>5443</xdr:colOff>
                <xdr:row>7</xdr:row>
                <xdr:rowOff>81643</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6"/>
  <dimension ref="A1:D16"/>
  <sheetViews>
    <sheetView workbookViewId="0">
      <selection activeCell="C30" sqref="C30"/>
    </sheetView>
  </sheetViews>
  <sheetFormatPr baseColWidth="10" defaultColWidth="1.53515625" defaultRowHeight="19.5" customHeight="1" x14ac:dyDescent="0.25"/>
  <cols>
    <col min="1" max="1" width="17.84375" style="20" customWidth="1"/>
    <col min="2" max="2" width="51.3046875" style="20" customWidth="1"/>
    <col min="3" max="3" width="19.3828125" style="20" customWidth="1"/>
    <col min="4" max="16384" width="1.53515625" style="20"/>
  </cols>
  <sheetData>
    <row r="1" spans="1:4" ht="12.45" thickBot="1" x14ac:dyDescent="0.3">
      <c r="B1" s="21"/>
      <c r="C1" s="21"/>
    </row>
    <row r="2" spans="1:4" ht="42.75" customHeight="1" thickBot="1" x14ac:dyDescent="0.3">
      <c r="A2" s="19"/>
      <c r="B2" s="23" t="s">
        <v>4</v>
      </c>
      <c r="C2" s="15" t="s">
        <v>17</v>
      </c>
    </row>
    <row r="3" spans="1:4" ht="19.5" customHeight="1" x14ac:dyDescent="0.25">
      <c r="A3" s="19"/>
      <c r="B3" s="99" t="s">
        <v>20</v>
      </c>
      <c r="C3" s="16">
        <v>0</v>
      </c>
    </row>
    <row r="4" spans="1:4" ht="19.5" customHeight="1" x14ac:dyDescent="0.25">
      <c r="A4" s="19"/>
      <c r="B4" s="100"/>
      <c r="C4" s="22">
        <v>0</v>
      </c>
      <c r="D4" s="29"/>
    </row>
    <row r="16" spans="1:4" ht="19.5" customHeight="1" x14ac:dyDescent="0.3">
      <c r="A16" s="41"/>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2"/>
  <dimension ref="B3:E39"/>
  <sheetViews>
    <sheetView workbookViewId="0">
      <selection activeCell="J21" sqref="J21"/>
    </sheetView>
  </sheetViews>
  <sheetFormatPr baseColWidth="10" defaultRowHeight="12" x14ac:dyDescent="0.25"/>
  <cols>
    <col min="2" max="2" width="51.84375" customWidth="1"/>
    <col min="3" max="3" width="35" customWidth="1"/>
  </cols>
  <sheetData>
    <row r="3" spans="2:3" ht="27.75" customHeight="1" x14ac:dyDescent="0.25">
      <c r="B3" s="25" t="s">
        <v>15</v>
      </c>
      <c r="C3" s="27">
        <v>0</v>
      </c>
    </row>
    <row r="4" spans="2:3" ht="18" thickBot="1" x14ac:dyDescent="0.3">
      <c r="B4" s="26" t="s">
        <v>16</v>
      </c>
      <c r="C4" s="28">
        <v>0</v>
      </c>
    </row>
    <row r="39" spans="5:5" ht="12.9" x14ac:dyDescent="0.3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3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4"/>
  <dimension ref="A1:H31"/>
  <sheetViews>
    <sheetView workbookViewId="0">
      <selection activeCell="D1" sqref="D1"/>
    </sheetView>
  </sheetViews>
  <sheetFormatPr baseColWidth="10" defaultColWidth="11.3828125" defaultRowHeight="12" x14ac:dyDescent="0.25"/>
  <cols>
    <col min="1" max="1" width="21.3828125" style="20" customWidth="1"/>
    <col min="2" max="2" width="8.53515625" style="20" customWidth="1"/>
    <col min="3" max="3" width="87" style="20" customWidth="1"/>
    <col min="4" max="4" width="44.15234375" style="20" customWidth="1"/>
    <col min="5" max="16384" width="11.3828125" style="20"/>
  </cols>
  <sheetData>
    <row r="1" spans="1:4" ht="17.600000000000001" thickBot="1" x14ac:dyDescent="0.3">
      <c r="A1" s="6" t="s">
        <v>13</v>
      </c>
      <c r="B1" s="7">
        <v>1</v>
      </c>
      <c r="C1" s="17"/>
      <c r="D1" s="81"/>
    </row>
    <row r="2" spans="1:4" ht="23.6" thickBot="1" x14ac:dyDescent="0.3">
      <c r="A2" s="8" t="s">
        <v>2</v>
      </c>
      <c r="B2" s="18" t="s">
        <v>14</v>
      </c>
      <c r="C2" s="8" t="s">
        <v>6</v>
      </c>
      <c r="D2" s="8"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2.45" thickBot="1" x14ac:dyDescent="0.3">
      <c r="A12" s="3"/>
      <c r="B12" s="3"/>
      <c r="C12" s="11"/>
      <c r="D12" s="11"/>
    </row>
    <row r="13" spans="1:4" ht="12.45" thickBot="1" x14ac:dyDescent="0.3">
      <c r="A13" s="12" t="s">
        <v>21</v>
      </c>
      <c r="B13" s="12">
        <f>SUM(B3:B12)</f>
        <v>0</v>
      </c>
      <c r="C13" s="13"/>
      <c r="D13" s="13"/>
    </row>
    <row r="14" spans="1:4" x14ac:dyDescent="0.25">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x14ac:dyDescent="0.25">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4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400-000001000000}">
      <formula1>0</formula1>
    </dataValidation>
    <dataValidation type="list" allowBlank="1" showInputMessage="1" showErrorMessage="1" sqref="A22:A29" xr:uid="{00000000-0002-0000-04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400-000003000000}">
      <formula1>0</formula1>
      <formula2>NbPerWeek * NbQuartPer</formula2>
    </dataValidation>
    <dataValidation type="list" allowBlank="1" showInputMessage="1" showErrorMessage="1" sqref="A3:A12" xr:uid="{00000000-0002-0000-04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593271</xdr:colOff>
                <xdr:row>0</xdr:row>
                <xdr:rowOff>179614</xdr:rowOff>
              </from>
              <to>
                <xdr:col>7</xdr:col>
                <xdr:colOff>130629</xdr:colOff>
                <xdr:row>3</xdr:row>
                <xdr:rowOff>65314</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dimension ref="A1:H36"/>
  <sheetViews>
    <sheetView workbookViewId="0">
      <selection activeCell="C28" sqref="C28"/>
    </sheetView>
  </sheetViews>
  <sheetFormatPr baseColWidth="10" defaultColWidth="11.3828125" defaultRowHeight="12" x14ac:dyDescent="0.25"/>
  <cols>
    <col min="1" max="1" width="21.3828125" style="20" customWidth="1"/>
    <col min="2" max="2" width="8.53515625" style="20" customWidth="1"/>
    <col min="3" max="3" width="87" style="20" customWidth="1"/>
    <col min="4" max="4" width="44.15234375" style="20" customWidth="1"/>
    <col min="5" max="16384" width="11.3828125" style="20"/>
  </cols>
  <sheetData>
    <row r="1" spans="1:4" ht="17.600000000000001" thickBot="1" x14ac:dyDescent="0.3">
      <c r="A1" s="42" t="s">
        <v>13</v>
      </c>
      <c r="B1" s="43">
        <v>1</v>
      </c>
      <c r="C1" s="44" t="s">
        <v>22</v>
      </c>
      <c r="D1" s="53"/>
    </row>
    <row r="2" spans="1:4" ht="23.6" thickBot="1" x14ac:dyDescent="0.3">
      <c r="A2" s="45" t="s">
        <v>2</v>
      </c>
      <c r="B2" s="46" t="s">
        <v>14</v>
      </c>
      <c r="C2" s="45" t="s">
        <v>6</v>
      </c>
      <c r="D2" s="45"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2.45" thickBot="1" x14ac:dyDescent="0.3">
      <c r="A17" s="3"/>
      <c r="B17" s="3"/>
      <c r="C17" s="11"/>
      <c r="D17" s="11"/>
    </row>
    <row r="18" spans="1:8" ht="12.45" thickBot="1" x14ac:dyDescent="0.3">
      <c r="A18" s="47" t="s">
        <v>21</v>
      </c>
      <c r="B18" s="47">
        <f>SUM(B3:B17)</f>
        <v>0</v>
      </c>
      <c r="C18" s="48"/>
      <c r="D18" s="48"/>
    </row>
    <row r="19" spans="1:8" x14ac:dyDescent="0.25">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x14ac:dyDescent="0.25">
      <c r="A36" s="40"/>
      <c r="B36" s="40"/>
      <c r="C36" s="40"/>
      <c r="D36" s="40"/>
      <c r="F36" s="40"/>
      <c r="G36" s="40"/>
      <c r="H36" s="40"/>
    </row>
  </sheetData>
  <sheetProtection formatRows="0" insertHyperlinks="0"/>
  <dataValidations count="5">
    <dataValidation type="list" allowBlank="1" showInputMessage="1" showErrorMessage="1" sqref="A3:A17" xr:uid="{00000000-0002-0000-06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600-000001000000}">
      <formula1>0</formula1>
      <formula2>NbPerWeek * NbQuartPer</formula2>
    </dataValidation>
    <dataValidation type="list" allowBlank="1" showInputMessage="1" showErrorMessage="1" sqref="A27:A34" xr:uid="{00000000-0002-0000-06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6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6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593271</xdr:colOff>
                <xdr:row>0</xdr:row>
                <xdr:rowOff>179614</xdr:rowOff>
              </from>
              <to>
                <xdr:col>7</xdr:col>
                <xdr:colOff>130629</xdr:colOff>
                <xdr:row>3</xdr:row>
                <xdr:rowOff>65314</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C9DF7-92E9-4EC6-ABF4-D1646CBF711B}">
  <sheetPr codeName="Feuil9"/>
  <dimension ref="A1:H153"/>
  <sheetViews>
    <sheetView tabSelected="1" topLeftCell="A98" zoomScaleNormal="100" workbookViewId="0">
      <selection activeCell="C125" sqref="C125"/>
    </sheetView>
  </sheetViews>
  <sheetFormatPr baseColWidth="10" defaultColWidth="11.3828125" defaultRowHeight="12" x14ac:dyDescent="0.25"/>
  <cols>
    <col min="1" max="1" width="21.3828125" style="20" customWidth="1"/>
    <col min="2" max="2" width="8.53515625" style="20" customWidth="1"/>
    <col min="3" max="3" width="87" style="20" customWidth="1"/>
    <col min="4" max="4" width="44.15234375" style="20" customWidth="1"/>
    <col min="5" max="16384" width="11.3828125" style="20"/>
  </cols>
  <sheetData>
    <row r="1" spans="1:4" ht="17.600000000000001" thickBot="1" x14ac:dyDescent="0.3">
      <c r="A1" s="42" t="s">
        <v>13</v>
      </c>
      <c r="B1" s="43">
        <v>1</v>
      </c>
      <c r="C1" s="44" t="s">
        <v>22</v>
      </c>
      <c r="D1" s="53">
        <f>Donnees!$C$9</f>
        <v>45602</v>
      </c>
    </row>
    <row r="2" spans="1:4" ht="23.6" thickBot="1" x14ac:dyDescent="0.3">
      <c r="A2" s="45" t="s">
        <v>2</v>
      </c>
      <c r="B2" s="46" t="s">
        <v>14</v>
      </c>
      <c r="C2" s="45" t="s">
        <v>6</v>
      </c>
      <c r="D2" s="45" t="s">
        <v>12</v>
      </c>
    </row>
    <row r="3" spans="1:4" s="52" customFormat="1" ht="24" x14ac:dyDescent="0.25">
      <c r="A3" s="5" t="s">
        <v>34</v>
      </c>
      <c r="B3" s="4">
        <v>2</v>
      </c>
      <c r="C3" s="9" t="s">
        <v>35</v>
      </c>
      <c r="D3" s="9"/>
    </row>
    <row r="4" spans="1:4" s="52" customFormat="1" ht="24" x14ac:dyDescent="0.25">
      <c r="A4" s="1" t="s">
        <v>36</v>
      </c>
      <c r="B4" s="2">
        <v>1</v>
      </c>
      <c r="C4" s="10" t="s">
        <v>37</v>
      </c>
      <c r="D4" s="10"/>
    </row>
    <row r="5" spans="1:4" s="52" customFormat="1" ht="24" x14ac:dyDescent="0.25">
      <c r="A5" s="1" t="s">
        <v>38</v>
      </c>
      <c r="B5" s="2">
        <v>1</v>
      </c>
      <c r="C5" s="10" t="s">
        <v>39</v>
      </c>
      <c r="D5" s="10"/>
    </row>
    <row r="6" spans="1:4" s="52" customFormat="1" ht="24" x14ac:dyDescent="0.25">
      <c r="A6" s="1" t="s">
        <v>40</v>
      </c>
      <c r="B6" s="2">
        <v>4</v>
      </c>
      <c r="C6" s="10" t="s">
        <v>41</v>
      </c>
      <c r="D6" s="10"/>
    </row>
    <row r="7" spans="1:4" s="52" customFormat="1" ht="24" x14ac:dyDescent="0.25">
      <c r="A7" s="1" t="s">
        <v>42</v>
      </c>
      <c r="B7" s="2">
        <v>2</v>
      </c>
      <c r="C7" s="10" t="s">
        <v>43</v>
      </c>
      <c r="D7" s="10"/>
    </row>
    <row r="8" spans="1:4" s="52" customFormat="1" x14ac:dyDescent="0.25">
      <c r="A8" s="1" t="s">
        <v>46</v>
      </c>
      <c r="B8" s="2">
        <v>1</v>
      </c>
      <c r="C8" s="10" t="s">
        <v>47</v>
      </c>
      <c r="D8" s="10"/>
    </row>
    <row r="9" spans="1:4" s="52" customFormat="1" x14ac:dyDescent="0.25">
      <c r="A9" s="1" t="s">
        <v>44</v>
      </c>
      <c r="B9" s="2">
        <v>1</v>
      </c>
      <c r="C9" s="10" t="s">
        <v>45</v>
      </c>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2.45" thickBot="1" x14ac:dyDescent="0.3">
      <c r="A17" s="3"/>
      <c r="B17" s="3"/>
      <c r="C17" s="11"/>
      <c r="D17" s="11"/>
    </row>
    <row r="18" spans="1:8" ht="12.9" thickBot="1" x14ac:dyDescent="0.3">
      <c r="A18" s="47" t="s">
        <v>21</v>
      </c>
      <c r="B18" s="47">
        <f>SUM(B3:B17)</f>
        <v>12</v>
      </c>
      <c r="C18" s="84" t="s">
        <v>25</v>
      </c>
      <c r="D18" s="48"/>
    </row>
    <row r="19" spans="1:8" ht="12.45" thickBot="1" x14ac:dyDescent="0.3">
      <c r="A19" s="49"/>
      <c r="B19" s="49"/>
      <c r="C19" s="49"/>
      <c r="D19" s="49"/>
    </row>
    <row r="20" spans="1:8" ht="17.600000000000001" thickBot="1" x14ac:dyDescent="0.3">
      <c r="A20" s="42" t="s">
        <v>13</v>
      </c>
      <c r="B20" s="43">
        <v>2</v>
      </c>
      <c r="C20" s="44" t="s">
        <v>22</v>
      </c>
      <c r="D20" s="53">
        <f>$D$1+7</f>
        <v>45609</v>
      </c>
    </row>
    <row r="21" spans="1:8" ht="23.6" thickBot="1" x14ac:dyDescent="0.3">
      <c r="A21" s="45" t="s">
        <v>2</v>
      </c>
      <c r="B21" s="46" t="s">
        <v>14</v>
      </c>
      <c r="C21" s="45" t="s">
        <v>6</v>
      </c>
      <c r="D21" s="45" t="s">
        <v>12</v>
      </c>
    </row>
    <row r="22" spans="1:8" ht="36" x14ac:dyDescent="0.25">
      <c r="A22" s="5" t="s">
        <v>48</v>
      </c>
      <c r="B22" s="4">
        <v>8</v>
      </c>
      <c r="C22" s="9" t="s">
        <v>49</v>
      </c>
      <c r="D22" s="9"/>
    </row>
    <row r="23" spans="1:8" ht="24.9" x14ac:dyDescent="0.3">
      <c r="A23" s="1" t="s">
        <v>50</v>
      </c>
      <c r="B23" s="2">
        <v>1</v>
      </c>
      <c r="C23" s="10" t="s">
        <v>51</v>
      </c>
      <c r="D23" s="96" t="s">
        <v>52</v>
      </c>
    </row>
    <row r="24" spans="1:8" ht="24.9" x14ac:dyDescent="0.3">
      <c r="A24" s="1" t="s">
        <v>53</v>
      </c>
      <c r="B24" s="2">
        <v>1</v>
      </c>
      <c r="C24" s="20" t="s">
        <v>51</v>
      </c>
      <c r="D24" s="96" t="s">
        <v>52</v>
      </c>
    </row>
    <row r="25" spans="1:8" ht="27.75" customHeight="1" x14ac:dyDescent="0.3">
      <c r="A25" s="1" t="s">
        <v>54</v>
      </c>
      <c r="B25" s="2">
        <v>1</v>
      </c>
      <c r="C25" s="20" t="s">
        <v>51</v>
      </c>
      <c r="D25" s="96" t="s">
        <v>52</v>
      </c>
      <c r="F25" s="31"/>
      <c r="G25" s="32"/>
      <c r="H25" s="33"/>
    </row>
    <row r="26" spans="1:8" ht="24" x14ac:dyDescent="0.25">
      <c r="A26" s="1" t="s">
        <v>55</v>
      </c>
      <c r="B26" s="2">
        <v>1</v>
      </c>
      <c r="C26" s="10" t="s">
        <v>56</v>
      </c>
      <c r="D26" s="10"/>
      <c r="F26" s="34"/>
      <c r="G26" s="30"/>
      <c r="H26" s="30"/>
    </row>
    <row r="27" spans="1:8" x14ac:dyDescent="0.25">
      <c r="A27" s="1"/>
      <c r="B27" s="2"/>
      <c r="C27" s="10"/>
      <c r="D27" s="10"/>
      <c r="F27" s="36"/>
      <c r="G27" s="37"/>
      <c r="H27" s="37"/>
    </row>
    <row r="28" spans="1:8" x14ac:dyDescent="0.25">
      <c r="A28" s="1"/>
      <c r="B28" s="2"/>
      <c r="C28" s="10"/>
      <c r="D28" s="10"/>
      <c r="F28" s="36"/>
      <c r="G28" s="37"/>
      <c r="H28" s="37"/>
    </row>
    <row r="29" spans="1:8" x14ac:dyDescent="0.25">
      <c r="A29" s="1"/>
      <c r="B29" s="2"/>
      <c r="C29" s="10"/>
      <c r="D29" s="10"/>
      <c r="F29" s="36"/>
      <c r="G29" s="37"/>
      <c r="H29" s="37"/>
    </row>
    <row r="30" spans="1:8" x14ac:dyDescent="0.25">
      <c r="A30" s="1"/>
      <c r="B30" s="2"/>
      <c r="C30" s="10"/>
      <c r="D30" s="10"/>
      <c r="F30" s="36"/>
      <c r="G30" s="37"/>
      <c r="H30" s="37"/>
    </row>
    <row r="31" spans="1:8" x14ac:dyDescent="0.25">
      <c r="A31" s="2"/>
      <c r="B31" s="2"/>
      <c r="C31" s="10"/>
      <c r="D31" s="10"/>
      <c r="F31" s="36"/>
      <c r="G31" s="37"/>
      <c r="H31" s="37"/>
    </row>
    <row r="32" spans="1:8" x14ac:dyDescent="0.25">
      <c r="A32" s="2"/>
      <c r="B32" s="2"/>
      <c r="C32" s="10"/>
      <c r="D32" s="10"/>
      <c r="F32" s="36"/>
      <c r="G32" s="37"/>
      <c r="H32" s="37"/>
    </row>
    <row r="33" spans="1:8" x14ac:dyDescent="0.25">
      <c r="A33" s="2"/>
      <c r="B33" s="2"/>
      <c r="C33" s="10"/>
      <c r="D33" s="10"/>
      <c r="F33" s="36"/>
      <c r="G33" s="37"/>
      <c r="H33" s="37"/>
    </row>
    <row r="34" spans="1:8" x14ac:dyDescent="0.25">
      <c r="A34" s="50"/>
      <c r="B34" s="50"/>
      <c r="C34" s="51"/>
      <c r="D34" s="51"/>
      <c r="F34" s="36"/>
      <c r="G34" s="37"/>
      <c r="H34" s="37"/>
    </row>
    <row r="35" spans="1:8" x14ac:dyDescent="0.25">
      <c r="A35" s="50"/>
      <c r="B35" s="50"/>
      <c r="C35" s="51"/>
      <c r="D35" s="51"/>
      <c r="F35" s="38"/>
      <c r="G35" s="39"/>
      <c r="H35" s="39"/>
    </row>
    <row r="36" spans="1:8" ht="12.45" thickBot="1" x14ac:dyDescent="0.3">
      <c r="A36" s="3"/>
      <c r="B36" s="3"/>
      <c r="C36" s="11"/>
      <c r="D36" s="11"/>
      <c r="F36" s="40"/>
      <c r="G36" s="40"/>
      <c r="H36" s="40"/>
    </row>
    <row r="37" spans="1:8" ht="12.9" thickBot="1" x14ac:dyDescent="0.3">
      <c r="A37" s="47" t="s">
        <v>21</v>
      </c>
      <c r="B37" s="47">
        <f>SUM(B22:B36)</f>
        <v>12</v>
      </c>
      <c r="C37" s="84" t="s">
        <v>25</v>
      </c>
      <c r="D37" s="48"/>
    </row>
    <row r="38" spans="1:8" ht="12.45" thickBot="1" x14ac:dyDescent="0.3">
      <c r="A38" s="49"/>
      <c r="B38" s="49"/>
      <c r="C38" s="49"/>
      <c r="D38" s="49"/>
    </row>
    <row r="39" spans="1:8" ht="17.600000000000001" thickBot="1" x14ac:dyDescent="0.3">
      <c r="A39" s="42" t="s">
        <v>13</v>
      </c>
      <c r="B39" s="43">
        <v>3</v>
      </c>
      <c r="C39" s="44" t="s">
        <v>22</v>
      </c>
      <c r="D39" s="53">
        <f>$D$20+7</f>
        <v>45616</v>
      </c>
    </row>
    <row r="40" spans="1:8" ht="23.6" thickBot="1" x14ac:dyDescent="0.3">
      <c r="A40" s="45" t="s">
        <v>2</v>
      </c>
      <c r="B40" s="46" t="s">
        <v>33</v>
      </c>
      <c r="C40" s="45" t="s">
        <v>6</v>
      </c>
      <c r="D40" s="45" t="s">
        <v>12</v>
      </c>
    </row>
    <row r="41" spans="1:8" ht="24" x14ac:dyDescent="0.25">
      <c r="A41" s="5" t="s">
        <v>57</v>
      </c>
      <c r="B41" s="4">
        <v>1</v>
      </c>
      <c r="C41" s="9" t="s">
        <v>58</v>
      </c>
      <c r="D41" s="9"/>
    </row>
    <row r="42" spans="1:8" ht="48" x14ac:dyDescent="0.25">
      <c r="A42" s="1" t="s">
        <v>59</v>
      </c>
      <c r="B42" s="2">
        <v>7</v>
      </c>
      <c r="C42" s="10" t="s">
        <v>60</v>
      </c>
      <c r="D42" s="10"/>
    </row>
    <row r="43" spans="1:8" ht="24" x14ac:dyDescent="0.25">
      <c r="A43" s="1" t="s">
        <v>61</v>
      </c>
      <c r="B43" s="2">
        <v>2</v>
      </c>
      <c r="C43" s="10" t="s">
        <v>62</v>
      </c>
      <c r="D43" s="10"/>
    </row>
    <row r="44" spans="1:8" x14ac:dyDescent="0.25">
      <c r="A44" s="1" t="s">
        <v>63</v>
      </c>
      <c r="B44" s="2">
        <v>1</v>
      </c>
      <c r="C44" s="10" t="s">
        <v>69</v>
      </c>
      <c r="D44" s="10"/>
    </row>
    <row r="45" spans="1:8" x14ac:dyDescent="0.25">
      <c r="A45" s="1" t="s">
        <v>36</v>
      </c>
      <c r="B45" s="2">
        <v>1</v>
      </c>
      <c r="C45" s="20" t="s">
        <v>64</v>
      </c>
    </row>
    <row r="46" spans="1:8" x14ac:dyDescent="0.25">
      <c r="A46" s="1"/>
      <c r="B46" s="2"/>
      <c r="C46" s="10"/>
      <c r="D46" s="10"/>
    </row>
    <row r="47" spans="1:8" x14ac:dyDescent="0.25">
      <c r="A47" s="1"/>
      <c r="B47" s="2"/>
      <c r="C47" s="10"/>
      <c r="D47" s="10"/>
    </row>
    <row r="48" spans="1:8" x14ac:dyDescent="0.25">
      <c r="A48" s="1"/>
      <c r="B48" s="2"/>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0"/>
      <c r="B53" s="50"/>
      <c r="C53" s="51"/>
      <c r="D53" s="51"/>
    </row>
    <row r="54" spans="1:4" x14ac:dyDescent="0.25">
      <c r="A54" s="50"/>
      <c r="B54" s="50"/>
      <c r="C54" s="51"/>
      <c r="D54" s="51"/>
    </row>
    <row r="55" spans="1:4" ht="12.45" thickBot="1" x14ac:dyDescent="0.3">
      <c r="A55" s="3"/>
      <c r="B55" s="3"/>
      <c r="C55" s="11"/>
      <c r="D55" s="11"/>
    </row>
    <row r="56" spans="1:4" ht="12.9" thickBot="1" x14ac:dyDescent="0.3">
      <c r="A56" s="47" t="s">
        <v>21</v>
      </c>
      <c r="B56" s="47">
        <f>SUM(B41:B55)</f>
        <v>12</v>
      </c>
      <c r="C56" s="84" t="s">
        <v>25</v>
      </c>
      <c r="D56" s="48"/>
    </row>
    <row r="57" spans="1:4" ht="12.45" thickBot="1" x14ac:dyDescent="0.3">
      <c r="A57" s="49"/>
      <c r="B57" s="49"/>
      <c r="C57" s="49"/>
      <c r="D57" s="49"/>
    </row>
    <row r="58" spans="1:4" ht="17.600000000000001" thickBot="1" x14ac:dyDescent="0.3">
      <c r="A58" s="42" t="s">
        <v>13</v>
      </c>
      <c r="B58" s="43">
        <v>4</v>
      </c>
      <c r="C58" s="44" t="s">
        <v>22</v>
      </c>
      <c r="D58" s="53">
        <f>$D$39+7</f>
        <v>45623</v>
      </c>
    </row>
    <row r="59" spans="1:4" ht="23.6" thickBot="1" x14ac:dyDescent="0.3">
      <c r="A59" s="45" t="s">
        <v>2</v>
      </c>
      <c r="B59" s="46" t="s">
        <v>14</v>
      </c>
      <c r="C59" s="45" t="s">
        <v>6</v>
      </c>
      <c r="D59" s="45" t="s">
        <v>12</v>
      </c>
    </row>
    <row r="60" spans="1:4" ht="22.75" x14ac:dyDescent="0.25">
      <c r="A60" s="5"/>
      <c r="B60" s="4"/>
      <c r="C60" s="90"/>
      <c r="D60" s="9"/>
    </row>
    <row r="61" spans="1:4" x14ac:dyDescent="0.25">
      <c r="A61" s="1"/>
      <c r="B61" s="2"/>
      <c r="C61" s="10"/>
      <c r="D61" s="10"/>
    </row>
    <row r="62" spans="1:4" x14ac:dyDescent="0.25">
      <c r="A62" s="1"/>
      <c r="B62" s="2"/>
      <c r="C62" s="91"/>
      <c r="D62" s="10"/>
    </row>
    <row r="63" spans="1:4" x14ac:dyDescent="0.25">
      <c r="A63" s="1"/>
      <c r="B63" s="2"/>
      <c r="C63" s="10"/>
      <c r="D63" s="10"/>
    </row>
    <row r="64" spans="1:4" x14ac:dyDescent="0.25">
      <c r="A64" s="1"/>
      <c r="B64" s="2"/>
      <c r="C64" s="10"/>
      <c r="D64" s="10"/>
    </row>
    <row r="65" spans="1:4" ht="44.6" x14ac:dyDescent="0.25">
      <c r="A65" s="1"/>
      <c r="B65" s="2"/>
      <c r="C65" s="93" t="s">
        <v>65</v>
      </c>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0"/>
      <c r="B72" s="50"/>
      <c r="C72" s="51"/>
      <c r="D72" s="51"/>
    </row>
    <row r="73" spans="1:4" x14ac:dyDescent="0.25">
      <c r="A73" s="50"/>
      <c r="B73" s="50"/>
      <c r="C73" s="51"/>
      <c r="D73" s="51"/>
    </row>
    <row r="74" spans="1:4" ht="12.45" thickBot="1" x14ac:dyDescent="0.3">
      <c r="A74" s="3"/>
      <c r="B74" s="3"/>
      <c r="C74" s="11"/>
      <c r="D74" s="11"/>
    </row>
    <row r="75" spans="1:4" ht="12.9" thickBot="1" x14ac:dyDescent="0.3">
      <c r="A75" s="47" t="s">
        <v>21</v>
      </c>
      <c r="B75" s="47">
        <f>SUM(B60:B74)</f>
        <v>0</v>
      </c>
      <c r="C75" s="84" t="s">
        <v>25</v>
      </c>
      <c r="D75" s="48"/>
    </row>
    <row r="76" spans="1:4" ht="12.45" thickBot="1" x14ac:dyDescent="0.3">
      <c r="A76" s="49"/>
      <c r="B76" s="49"/>
      <c r="C76" s="49"/>
      <c r="D76" s="49"/>
    </row>
    <row r="77" spans="1:4" ht="17.600000000000001" thickBot="1" x14ac:dyDescent="0.3">
      <c r="A77" s="42" t="s">
        <v>13</v>
      </c>
      <c r="B77" s="43">
        <v>5</v>
      </c>
      <c r="C77" s="44" t="s">
        <v>22</v>
      </c>
      <c r="D77" s="53">
        <f>$D$58+7</f>
        <v>45630</v>
      </c>
    </row>
    <row r="78" spans="1:4" ht="23.6" thickBot="1" x14ac:dyDescent="0.3">
      <c r="A78" s="45" t="s">
        <v>2</v>
      </c>
      <c r="B78" s="46" t="s">
        <v>33</v>
      </c>
      <c r="C78" s="45" t="s">
        <v>6</v>
      </c>
      <c r="D78" s="45" t="s">
        <v>12</v>
      </c>
    </row>
    <row r="79" spans="1:4" x14ac:dyDescent="0.25">
      <c r="A79" s="1"/>
      <c r="B79" s="4"/>
      <c r="C79" s="91"/>
      <c r="D79" s="9"/>
    </row>
    <row r="80" spans="1:4" x14ac:dyDescent="0.25">
      <c r="A80" s="1"/>
      <c r="B80" s="92"/>
      <c r="C80" s="10"/>
      <c r="D80" s="10"/>
    </row>
    <row r="81" spans="1:4" x14ac:dyDescent="0.25">
      <c r="A81" s="1"/>
      <c r="B81" s="2"/>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ht="67.75" x14ac:dyDescent="0.25">
      <c r="A85" s="1"/>
      <c r="B85" s="2"/>
      <c r="C85" s="94" t="s">
        <v>66</v>
      </c>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0"/>
      <c r="B91" s="50"/>
      <c r="C91" s="51"/>
      <c r="D91" s="51"/>
    </row>
    <row r="92" spans="1:4" x14ac:dyDescent="0.25">
      <c r="A92" s="50"/>
      <c r="B92" s="50"/>
      <c r="C92" s="51"/>
      <c r="D92" s="51"/>
    </row>
    <row r="93" spans="1:4" ht="12.45" thickBot="1" x14ac:dyDescent="0.3">
      <c r="A93" s="3"/>
      <c r="B93" s="3"/>
      <c r="C93" s="11"/>
      <c r="D93" s="11"/>
    </row>
    <row r="94" spans="1:4" ht="12.9" thickBot="1" x14ac:dyDescent="0.3">
      <c r="A94" s="47" t="s">
        <v>21</v>
      </c>
      <c r="B94" s="47">
        <f>SUM(B79:B93)</f>
        <v>0</v>
      </c>
      <c r="C94" s="84" t="s">
        <v>25</v>
      </c>
      <c r="D94" s="48"/>
    </row>
    <row r="95" spans="1:4" ht="12.45" thickBot="1" x14ac:dyDescent="0.3">
      <c r="A95" s="49"/>
      <c r="B95" s="49"/>
      <c r="C95" s="49"/>
      <c r="D95" s="49"/>
    </row>
    <row r="96" spans="1:4" ht="17.600000000000001" thickBot="1" x14ac:dyDescent="0.3">
      <c r="A96" s="42" t="s">
        <v>13</v>
      </c>
      <c r="B96" s="43">
        <v>6</v>
      </c>
      <c r="C96" s="44" t="s">
        <v>22</v>
      </c>
      <c r="D96" s="53">
        <f>$D$77+7</f>
        <v>45637</v>
      </c>
    </row>
    <row r="97" spans="1:4" ht="23.6" thickBot="1" x14ac:dyDescent="0.3">
      <c r="A97" s="45" t="s">
        <v>2</v>
      </c>
      <c r="B97" s="46" t="s">
        <v>33</v>
      </c>
      <c r="C97" s="45" t="s">
        <v>6</v>
      </c>
      <c r="D97" s="45" t="s">
        <v>12</v>
      </c>
    </row>
    <row r="98" spans="1:4" ht="36" x14ac:dyDescent="0.25">
      <c r="A98" s="5" t="s">
        <v>67</v>
      </c>
      <c r="B98" s="4">
        <v>1</v>
      </c>
      <c r="C98" s="9" t="s">
        <v>68</v>
      </c>
      <c r="D98" s="9"/>
    </row>
    <row r="99" spans="1:4" ht="36" x14ac:dyDescent="0.25">
      <c r="A99" s="1" t="s">
        <v>70</v>
      </c>
      <c r="B99" s="2">
        <v>3</v>
      </c>
      <c r="C99" s="91" t="s">
        <v>71</v>
      </c>
      <c r="D99" s="10"/>
    </row>
    <row r="100" spans="1:4" ht="36" x14ac:dyDescent="0.25">
      <c r="A100" s="95" t="s">
        <v>72</v>
      </c>
      <c r="B100" s="2">
        <v>3</v>
      </c>
      <c r="C100" s="91" t="s">
        <v>73</v>
      </c>
      <c r="D100" s="10" t="s">
        <v>76</v>
      </c>
    </row>
    <row r="101" spans="1:4" x14ac:dyDescent="0.25">
      <c r="A101" s="95" t="s">
        <v>74</v>
      </c>
      <c r="B101" s="2">
        <v>4</v>
      </c>
      <c r="C101" s="91" t="s">
        <v>75</v>
      </c>
      <c r="D101" s="10"/>
    </row>
    <row r="102" spans="1:4" x14ac:dyDescent="0.25">
      <c r="A102" s="1" t="s">
        <v>36</v>
      </c>
      <c r="B102" s="2">
        <v>1</v>
      </c>
      <c r="C102" s="10" t="s">
        <v>77</v>
      </c>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0"/>
      <c r="B110" s="50"/>
      <c r="C110" s="51"/>
      <c r="D110" s="51"/>
    </row>
    <row r="111" spans="1:4" x14ac:dyDescent="0.25">
      <c r="A111" s="50"/>
      <c r="B111" s="50"/>
      <c r="C111" s="51"/>
      <c r="D111" s="51"/>
    </row>
    <row r="112" spans="1:4" ht="12.45" thickBot="1" x14ac:dyDescent="0.3">
      <c r="A112" s="3"/>
      <c r="B112" s="3"/>
      <c r="C112" s="11"/>
      <c r="D112" s="11"/>
    </row>
    <row r="113" spans="1:4" ht="12.9" thickBot="1" x14ac:dyDescent="0.3">
      <c r="A113" s="47" t="s">
        <v>21</v>
      </c>
      <c r="B113" s="47">
        <f>SUM(B98:B112)</f>
        <v>12</v>
      </c>
      <c r="C113" s="84" t="s">
        <v>25</v>
      </c>
      <c r="D113" s="48"/>
    </row>
    <row r="114" spans="1:4" ht="12.45" thickBot="1" x14ac:dyDescent="0.3">
      <c r="A114" s="49"/>
      <c r="B114" s="49"/>
      <c r="C114" s="49"/>
      <c r="D114" s="49"/>
    </row>
    <row r="115" spans="1:4" ht="17.600000000000001" thickBot="1" x14ac:dyDescent="0.3">
      <c r="A115" s="42" t="s">
        <v>13</v>
      </c>
      <c r="B115" s="43">
        <v>7</v>
      </c>
      <c r="C115" s="44" t="s">
        <v>22</v>
      </c>
      <c r="D115" s="53">
        <f>$D$96+7</f>
        <v>45644</v>
      </c>
    </row>
    <row r="116" spans="1:4" ht="23.6" thickBot="1" x14ac:dyDescent="0.3">
      <c r="A116" s="45" t="s">
        <v>2</v>
      </c>
      <c r="B116" s="46" t="s">
        <v>33</v>
      </c>
      <c r="C116" s="45" t="s">
        <v>6</v>
      </c>
      <c r="D116" s="45" t="s">
        <v>12</v>
      </c>
    </row>
    <row r="117" spans="1:4" x14ac:dyDescent="0.25">
      <c r="A117" s="5" t="s">
        <v>74</v>
      </c>
      <c r="B117" s="4">
        <v>3</v>
      </c>
      <c r="C117" s="9" t="s">
        <v>78</v>
      </c>
      <c r="D117" s="9"/>
    </row>
    <row r="118" spans="1:4" x14ac:dyDescent="0.25">
      <c r="A118" s="1" t="s">
        <v>79</v>
      </c>
      <c r="B118" s="2">
        <v>2</v>
      </c>
      <c r="C118" s="10" t="s">
        <v>80</v>
      </c>
      <c r="D118" s="10"/>
    </row>
    <row r="119" spans="1:4" x14ac:dyDescent="0.25">
      <c r="A119" s="1" t="s">
        <v>81</v>
      </c>
      <c r="B119" s="2">
        <v>1</v>
      </c>
      <c r="C119" s="10" t="s">
        <v>82</v>
      </c>
      <c r="D119" s="10"/>
    </row>
    <row r="120" spans="1:4" x14ac:dyDescent="0.25">
      <c r="A120" s="1" t="s">
        <v>83</v>
      </c>
      <c r="B120" s="2">
        <v>2</v>
      </c>
      <c r="C120" s="10" t="s">
        <v>84</v>
      </c>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0"/>
      <c r="B129" s="50"/>
      <c r="C129" s="51"/>
      <c r="D129" s="51"/>
    </row>
    <row r="130" spans="1:4" x14ac:dyDescent="0.25">
      <c r="A130" s="50"/>
      <c r="B130" s="50"/>
      <c r="C130" s="51"/>
      <c r="D130" s="51"/>
    </row>
    <row r="131" spans="1:4" ht="12.45" thickBot="1" x14ac:dyDescent="0.3">
      <c r="A131" s="3"/>
      <c r="B131" s="3"/>
      <c r="C131" s="11"/>
      <c r="D131" s="11"/>
    </row>
    <row r="132" spans="1:4" ht="12.9" thickBot="1" x14ac:dyDescent="0.3">
      <c r="A132" s="47" t="s">
        <v>21</v>
      </c>
      <c r="B132" s="47">
        <f>SUM(B117:B131)</f>
        <v>8</v>
      </c>
      <c r="C132" s="84" t="s">
        <v>25</v>
      </c>
      <c r="D132" s="48"/>
    </row>
    <row r="133" spans="1:4" ht="12.45" thickBot="1" x14ac:dyDescent="0.3">
      <c r="A133" s="49"/>
      <c r="B133" s="49"/>
      <c r="C133" s="49"/>
      <c r="D133" s="49"/>
    </row>
    <row r="134" spans="1:4" ht="17.600000000000001" thickBot="1" x14ac:dyDescent="0.3">
      <c r="A134" s="42" t="s">
        <v>13</v>
      </c>
      <c r="B134" s="43">
        <v>8</v>
      </c>
      <c r="C134" s="44" t="s">
        <v>22</v>
      </c>
      <c r="D134" s="53">
        <f>$D$115+7</f>
        <v>45651</v>
      </c>
    </row>
    <row r="135" spans="1:4" ht="23.6" thickBot="1" x14ac:dyDescent="0.3">
      <c r="A135" s="45" t="s">
        <v>2</v>
      </c>
      <c r="B135" s="46" t="s">
        <v>14</v>
      </c>
      <c r="C135" s="45" t="s">
        <v>6</v>
      </c>
      <c r="D135" s="45" t="s">
        <v>12</v>
      </c>
    </row>
    <row r="136" spans="1:4" x14ac:dyDescent="0.25">
      <c r="A136" s="5"/>
      <c r="B136" s="4"/>
      <c r="C136" s="9"/>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0"/>
      <c r="B148" s="50"/>
      <c r="C148" s="51"/>
      <c r="D148" s="51"/>
    </row>
    <row r="149" spans="1:4" x14ac:dyDescent="0.25">
      <c r="A149" s="50"/>
      <c r="B149" s="50"/>
      <c r="C149" s="51"/>
      <c r="D149" s="51"/>
    </row>
    <row r="150" spans="1:4" ht="12.45" thickBot="1" x14ac:dyDescent="0.3">
      <c r="A150" s="3"/>
      <c r="B150" s="3"/>
      <c r="C150" s="11"/>
      <c r="D150" s="11"/>
    </row>
    <row r="151" spans="1:4" ht="12.9" thickBot="1" x14ac:dyDescent="0.3">
      <c r="A151" s="47" t="s">
        <v>21</v>
      </c>
      <c r="B151" s="47">
        <f>SUM(B136:B150)</f>
        <v>0</v>
      </c>
      <c r="C151" s="84" t="s">
        <v>25</v>
      </c>
      <c r="D151" s="48"/>
    </row>
    <row r="152" spans="1:4" x14ac:dyDescent="0.25">
      <c r="A152" s="49"/>
      <c r="B152" s="49"/>
      <c r="C152" s="49"/>
      <c r="D152" s="49"/>
    </row>
    <row r="153" spans="1:4" x14ac:dyDescent="0.25">
      <c r="A153" s="85" t="s">
        <v>26</v>
      </c>
    </row>
  </sheetData>
  <sheetProtection formatCells="0" formatRows="0" insertRows="0" insertHyperlinks="0"/>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0EAE6B0F-758C-4214-85B1-418299E29C33}">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98:B112 B117:B131 B136:B150 B79 B81:B93" xr:uid="{C968863F-9F9D-4F0F-BCBE-DCB9F6AA7C4F}">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0191ED72-A604-4756-A151-1724C993B1BB}">
      <formula1>0</formula1>
      <formula2>NbPerWeek * NbQuartPer</formula2>
    </dataValidation>
    <dataValidation type="list" allowBlank="1" showInputMessage="1" showErrorMessage="1" sqref="A79:A93 A22:A36 A41:A55 A60:A74 A136:A150 A98:A112 A117:A131 A3:A17" xr:uid="{64ABEC7F-EFA7-4F8C-AEA0-4CC3EADFD119}">
      <formula1>lstTasks</formula1>
    </dataValidation>
  </dataValidations>
  <hyperlinks>
    <hyperlink ref="D24" r:id="rId1" display="https://mockaroo.com/" xr:uid="{8A254CC4-BFD1-4096-94B9-3470D360C7E4}"/>
    <hyperlink ref="D25" r:id="rId2" display="https://mockaroo.com/" xr:uid="{5D35888B-1548-4501-89B8-B9CAD61CDD96}"/>
    <hyperlink ref="D23" r:id="rId3" display="https://mockaroo.com/" xr:uid="{CCD89942-E777-417E-907B-5B8139AA43E2}"/>
  </hyperlinks>
  <pageMargins left="0.7" right="0.7" top="0.75" bottom="0.75" header="0.3" footer="0.3"/>
  <pageSetup paperSize="9" orientation="portrait" r:id="rId4"/>
  <drawing r:id="rId5"/>
  <legacyDrawing r:id="rId6"/>
  <controls>
    <mc:AlternateContent xmlns:mc="http://schemas.openxmlformats.org/markup-compatibility/2006">
      <mc:Choice Requires="x14">
        <control shapeId="41985" r:id="rId7" name="btnImportRealisation">
          <controlPr defaultSize="0" autoLine="0" r:id="rId8">
            <anchor moveWithCells="1">
              <from>
                <xdr:col>4</xdr:col>
                <xdr:colOff>593271</xdr:colOff>
                <xdr:row>0</xdr:row>
                <xdr:rowOff>179614</xdr:rowOff>
              </from>
              <to>
                <xdr:col>7</xdr:col>
                <xdr:colOff>130629</xdr:colOff>
                <xdr:row>2</xdr:row>
                <xdr:rowOff>217714</xdr:rowOff>
              </to>
            </anchor>
          </controlPr>
        </control>
      </mc:Choice>
      <mc:Fallback>
        <control shapeId="41985" r:id="rId7"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13" ma:contentTypeDescription="Crée un document." ma:contentTypeScope="" ma:versionID="2b4cd31a402f387a8a6253c4cdc66d08">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1f1cb552cadaaa9fdafeefae944a00d3" ns2:_="" ns3:_="">
    <xsd:import namespace="98d92101-24da-4498-9971-a24673344bd8"/>
    <xsd:import namespace="dfa80de1-e9bb-4cf2-893d-d06220b3971a"/>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lcf76f155ced4ddcb4097134ff3c332f" ma:index="13"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83a57923-6ba4-40b0-9016-c914873b6599}"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79CA8D3-86C8-4C18-8AF8-8AB81EA18092}">
  <ds:schemaRefs>
    <ds:schemaRef ds:uri="http://schemas.microsoft.com/sharepoint/v3/contenttype/forms"/>
  </ds:schemaRefs>
</ds:datastoreItem>
</file>

<file path=customXml/itemProps2.xml><?xml version="1.0" encoding="utf-8"?>
<ds:datastoreItem xmlns:ds="http://schemas.openxmlformats.org/officeDocument/2006/customXml" ds:itemID="{A25576F2-DA56-4DAD-9B77-0093008FA3D0}">
  <ds:schemaRefs>
    <ds:schemaRef ds:uri="http://schemas.microsoft.com/office/2006/documentManagement/types"/>
    <ds:schemaRef ds:uri="http://purl.org/dc/dcmitype/"/>
    <ds:schemaRef ds:uri="98d92101-24da-4498-9971-a24673344bd8"/>
    <ds:schemaRef ds:uri="dfa80de1-e9bb-4cf2-893d-d06220b3971a"/>
    <ds:schemaRef ds:uri="http://www.w3.org/XML/1998/namespace"/>
    <ds:schemaRef ds:uri="http://purl.org/dc/terms/"/>
    <ds:schemaRef ds:uri="http://schemas.microsoft.com/office/infopath/2007/PartnerControls"/>
    <ds:schemaRef ds:uri="http://schemas.openxmlformats.org/package/2006/metadata/core-properties"/>
    <ds:schemaRef ds:uri="http://schemas.microsoft.com/office/2006/metadata/properties"/>
    <ds:schemaRef ds:uri="http://purl.org/dc/elements/1.1/"/>
  </ds:schemaRefs>
</ds:datastoreItem>
</file>

<file path=customXml/itemProps3.xml><?xml version="1.0" encoding="utf-8"?>
<ds:datastoreItem xmlns:ds="http://schemas.openxmlformats.org/officeDocument/2006/customXml" ds:itemID="{ED901F0F-3267-4809-86EE-044C7A3B4BD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10</vt:i4>
      </vt:variant>
    </vt:vector>
  </HeadingPairs>
  <TitlesOfParts>
    <vt:vector size="16" baseType="lpstr">
      <vt:lpstr>Donnees</vt:lpstr>
      <vt:lpstr>DiagramHeader</vt:lpstr>
      <vt:lpstr>DiagramFooter</vt:lpstr>
      <vt:lpstr>PlanificationWeek</vt:lpstr>
      <vt:lpstr>achievementWeek</vt:lpstr>
      <vt:lpstr>JNLTRAV</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Mykola Zhuravel</dc:creator>
  <cp:lastModifiedBy>Mykola Zhuravel</cp:lastModifiedBy>
  <cp:lastPrinted>2013-08-29T11:33:15Z</cp:lastPrinted>
  <dcterms:created xsi:type="dcterms:W3CDTF">1996-10-21T11:03:58Z</dcterms:created>
  <dcterms:modified xsi:type="dcterms:W3CDTF">2024-12-18T13:55:41Z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y fmtid="{D5CDD505-2E9C-101B-9397-08002B2CF9AE}" pid="3" name="MediaServiceImageTags">
    <vt:lpwstr/>
  </property>
</Properties>
</file>